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Program\RANSAC_EDGE\"/>
    </mc:Choice>
  </mc:AlternateContent>
  <xr:revisionPtr revIDLastSave="0" documentId="13_ncr:1_{3A4D2EFD-CC9E-4034-B830-E32EEE4A9372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1F1" sheetId="5" r:id="rId1"/>
    <sheet name="工作表1" sheetId="1" r:id="rId2"/>
    <sheet name="2F1" sheetId="2" r:id="rId3"/>
    <sheet name="1F2" sheetId="3" r:id="rId4"/>
    <sheet name="2F2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9" i="5" l="1"/>
  <c r="E9" i="5"/>
  <c r="F9" i="3"/>
  <c r="E9" i="3"/>
  <c r="F9" i="4"/>
  <c r="E9" i="4"/>
  <c r="F9" i="2"/>
  <c r="O3" i="5"/>
  <c r="O4" i="5"/>
  <c r="O5" i="5"/>
  <c r="O6" i="5"/>
  <c r="Q6" i="5" s="1"/>
  <c r="O7" i="5"/>
  <c r="Q7" i="5" s="1"/>
  <c r="O2" i="5"/>
  <c r="Q2" i="5" s="1"/>
  <c r="N3" i="5"/>
  <c r="P3" i="5" s="1"/>
  <c r="N4" i="5"/>
  <c r="N5" i="5"/>
  <c r="N6" i="5"/>
  <c r="P6" i="5" s="1"/>
  <c r="N7" i="5"/>
  <c r="N2" i="5"/>
  <c r="P7" i="5"/>
  <c r="M7" i="5"/>
  <c r="D7" i="5"/>
  <c r="L7" i="5" s="1"/>
  <c r="C7" i="5"/>
  <c r="M6" i="5"/>
  <c r="D6" i="5"/>
  <c r="L6" i="5" s="1"/>
  <c r="C6" i="5"/>
  <c r="Q5" i="5"/>
  <c r="P5" i="5"/>
  <c r="M5" i="5"/>
  <c r="D5" i="5"/>
  <c r="L5" i="5" s="1"/>
  <c r="C5" i="5"/>
  <c r="Q4" i="5"/>
  <c r="P4" i="5"/>
  <c r="M4" i="5"/>
  <c r="D4" i="5"/>
  <c r="L4" i="5" s="1"/>
  <c r="C4" i="5"/>
  <c r="Q3" i="5"/>
  <c r="M3" i="5"/>
  <c r="D3" i="5"/>
  <c r="L3" i="5" s="1"/>
  <c r="C3" i="5"/>
  <c r="M2" i="5"/>
  <c r="D2" i="5"/>
  <c r="L2" i="5" s="1"/>
  <c r="C2" i="5"/>
  <c r="O3" i="4"/>
  <c r="Q3" i="4" s="1"/>
  <c r="O4" i="4"/>
  <c r="Q4" i="4" s="1"/>
  <c r="O5" i="4"/>
  <c r="Q5" i="4" s="1"/>
  <c r="O6" i="4"/>
  <c r="Q6" i="4" s="1"/>
  <c r="O7" i="4"/>
  <c r="Q7" i="4" s="1"/>
  <c r="N3" i="4"/>
  <c r="P3" i="4" s="1"/>
  <c r="N4" i="4"/>
  <c r="P4" i="4" s="1"/>
  <c r="N5" i="4"/>
  <c r="P5" i="4" s="1"/>
  <c r="N6" i="4"/>
  <c r="P6" i="4" s="1"/>
  <c r="N7" i="4"/>
  <c r="P7" i="4" s="1"/>
  <c r="O2" i="4"/>
  <c r="N2" i="4"/>
  <c r="M7" i="4"/>
  <c r="D7" i="4"/>
  <c r="L7" i="4" s="1"/>
  <c r="C7" i="4"/>
  <c r="M6" i="4"/>
  <c r="D6" i="4"/>
  <c r="L6" i="4" s="1"/>
  <c r="C6" i="4"/>
  <c r="M5" i="4"/>
  <c r="D5" i="4"/>
  <c r="L5" i="4" s="1"/>
  <c r="C5" i="4"/>
  <c r="M4" i="4"/>
  <c r="D4" i="4"/>
  <c r="L4" i="4" s="1"/>
  <c r="C4" i="4"/>
  <c r="M3" i="4"/>
  <c r="D3" i="4"/>
  <c r="L3" i="4" s="1"/>
  <c r="C3" i="4"/>
  <c r="M2" i="4"/>
  <c r="D2" i="4"/>
  <c r="L2" i="4" s="1"/>
  <c r="C2" i="4"/>
  <c r="O7" i="3"/>
  <c r="Q7" i="3" s="1"/>
  <c r="N7" i="3"/>
  <c r="P7" i="3" s="1"/>
  <c r="M7" i="3"/>
  <c r="D7" i="3"/>
  <c r="L7" i="3" s="1"/>
  <c r="C7" i="3"/>
  <c r="O6" i="3"/>
  <c r="Q6" i="3" s="1"/>
  <c r="N6" i="3"/>
  <c r="P6" i="3" s="1"/>
  <c r="M6" i="3"/>
  <c r="D6" i="3"/>
  <c r="L6" i="3" s="1"/>
  <c r="C6" i="3"/>
  <c r="O5" i="3"/>
  <c r="Q5" i="3" s="1"/>
  <c r="N5" i="3"/>
  <c r="P5" i="3" s="1"/>
  <c r="M5" i="3"/>
  <c r="D5" i="3"/>
  <c r="L5" i="3" s="1"/>
  <c r="C5" i="3"/>
  <c r="O4" i="3"/>
  <c r="Q4" i="3" s="1"/>
  <c r="N4" i="3"/>
  <c r="P4" i="3" s="1"/>
  <c r="M4" i="3"/>
  <c r="D4" i="3"/>
  <c r="L4" i="3" s="1"/>
  <c r="C4" i="3"/>
  <c r="O3" i="3"/>
  <c r="Q3" i="3" s="1"/>
  <c r="N3" i="3"/>
  <c r="P3" i="3" s="1"/>
  <c r="M3" i="3"/>
  <c r="D3" i="3"/>
  <c r="L3" i="3" s="1"/>
  <c r="C3" i="3"/>
  <c r="O2" i="3"/>
  <c r="Q2" i="3" s="1"/>
  <c r="N2" i="3"/>
  <c r="P2" i="3" s="1"/>
  <c r="M2" i="3"/>
  <c r="D2" i="3"/>
  <c r="L2" i="3" s="1"/>
  <c r="C2" i="3"/>
  <c r="Q2" i="2"/>
  <c r="P2" i="2"/>
  <c r="M3" i="2"/>
  <c r="M4" i="2"/>
  <c r="M5" i="2"/>
  <c r="M6" i="2"/>
  <c r="M7" i="2"/>
  <c r="M2" i="2"/>
  <c r="L4" i="2"/>
  <c r="L6" i="2"/>
  <c r="O3" i="2"/>
  <c r="Q3" i="2" s="1"/>
  <c r="O4" i="2"/>
  <c r="Q4" i="2" s="1"/>
  <c r="O5" i="2"/>
  <c r="Q5" i="2" s="1"/>
  <c r="O6" i="2"/>
  <c r="Q6" i="2" s="1"/>
  <c r="O7" i="2"/>
  <c r="Q7" i="2" s="1"/>
  <c r="O2" i="2"/>
  <c r="N3" i="2"/>
  <c r="P3" i="2" s="1"/>
  <c r="N4" i="2"/>
  <c r="P4" i="2" s="1"/>
  <c r="N5" i="2"/>
  <c r="P5" i="2" s="1"/>
  <c r="N6" i="2"/>
  <c r="P6" i="2" s="1"/>
  <c r="N7" i="2"/>
  <c r="P7" i="2" s="1"/>
  <c r="N2" i="2"/>
  <c r="D7" i="2"/>
  <c r="L7" i="2" s="1"/>
  <c r="C7" i="2"/>
  <c r="D6" i="2"/>
  <c r="C6" i="2"/>
  <c r="D5" i="2"/>
  <c r="L5" i="2" s="1"/>
  <c r="C5" i="2"/>
  <c r="D4" i="2"/>
  <c r="C4" i="2"/>
  <c r="D3" i="2"/>
  <c r="L3" i="2" s="1"/>
  <c r="C3" i="2"/>
  <c r="D2" i="2"/>
  <c r="L2" i="2" s="1"/>
  <c r="C2" i="2"/>
  <c r="M9" i="1"/>
  <c r="N9" i="1"/>
  <c r="O9" i="1"/>
  <c r="P9" i="1"/>
  <c r="Q9" i="1"/>
  <c r="L9" i="1"/>
  <c r="Q3" i="1"/>
  <c r="Q4" i="1"/>
  <c r="Q5" i="1"/>
  <c r="Q6" i="1"/>
  <c r="Q7" i="1"/>
  <c r="Q2" i="1"/>
  <c r="P3" i="1"/>
  <c r="P4" i="1"/>
  <c r="P5" i="1"/>
  <c r="P6" i="1"/>
  <c r="P7" i="1"/>
  <c r="P2" i="1"/>
  <c r="O2" i="1"/>
  <c r="O3" i="1"/>
  <c r="O4" i="1"/>
  <c r="O6" i="1"/>
  <c r="O5" i="1"/>
  <c r="O7" i="1"/>
  <c r="N2" i="1"/>
  <c r="N3" i="1"/>
  <c r="N4" i="1"/>
  <c r="N6" i="1"/>
  <c r="N5" i="1"/>
  <c r="N7" i="1"/>
  <c r="M2" i="1"/>
  <c r="M3" i="1"/>
  <c r="M4" i="1"/>
  <c r="M6" i="1"/>
  <c r="M5" i="1"/>
  <c r="M7" i="1"/>
  <c r="L2" i="1"/>
  <c r="L3" i="1"/>
  <c r="L4" i="1"/>
  <c r="L6" i="1"/>
  <c r="L5" i="1"/>
  <c r="C3" i="1"/>
  <c r="D3" i="1"/>
  <c r="C4" i="1"/>
  <c r="D4" i="1"/>
  <c r="C6" i="1"/>
  <c r="D6" i="1"/>
  <c r="C5" i="1"/>
  <c r="D5" i="1"/>
  <c r="C7" i="1"/>
  <c r="D7" i="1"/>
  <c r="L7" i="1" s="1"/>
  <c r="D2" i="1"/>
  <c r="C2" i="1"/>
  <c r="M9" i="3" l="1"/>
  <c r="Q9" i="3"/>
  <c r="O9" i="3"/>
  <c r="P9" i="3"/>
  <c r="P9" i="2"/>
  <c r="N9" i="5"/>
  <c r="M9" i="5"/>
  <c r="O9" i="4"/>
  <c r="L9" i="5"/>
  <c r="Q9" i="5"/>
  <c r="O9" i="5"/>
  <c r="P2" i="5"/>
  <c r="P9" i="5" s="1"/>
  <c r="N9" i="4"/>
  <c r="Q2" i="4"/>
  <c r="Q9" i="4" s="1"/>
  <c r="M9" i="4"/>
  <c r="L9" i="4"/>
  <c r="P2" i="4"/>
  <c r="P9" i="4" s="1"/>
  <c r="N9" i="3"/>
  <c r="L9" i="3"/>
  <c r="M9" i="2"/>
  <c r="O9" i="2"/>
  <c r="N9" i="2"/>
  <c r="L9" i="2"/>
  <c r="Q9" i="2"/>
</calcChain>
</file>

<file path=xl/sharedStrings.xml><?xml version="1.0" encoding="utf-8"?>
<sst xmlns="http://schemas.openxmlformats.org/spreadsheetml/2006/main" count="109" uniqueCount="49">
  <si>
    <t>id</t>
    <phoneticPr fontId="1" type="noConversion"/>
  </si>
  <si>
    <t>v</t>
    <phoneticPr fontId="1" type="noConversion"/>
  </si>
  <si>
    <t>s</t>
    <phoneticPr fontId="1" type="noConversion"/>
  </si>
  <si>
    <t>vr</t>
    <phoneticPr fontId="1" type="noConversion"/>
  </si>
  <si>
    <t>sr</t>
    <phoneticPr fontId="1" type="noConversion"/>
  </si>
  <si>
    <t>item</t>
    <phoneticPr fontId="1" type="noConversion"/>
  </si>
  <si>
    <t>correct</t>
    <phoneticPr fontId="1" type="noConversion"/>
  </si>
  <si>
    <t>error(-)</t>
    <phoneticPr fontId="1" type="noConversion"/>
  </si>
  <si>
    <t>error(+)</t>
    <phoneticPr fontId="1" type="noConversion"/>
  </si>
  <si>
    <t>all</t>
    <phoneticPr fontId="1" type="noConversion"/>
  </si>
  <si>
    <t xml:space="preserve"> </t>
    <phoneticPr fontId="1" type="noConversion"/>
  </si>
  <si>
    <t>correct/item</t>
    <phoneticPr fontId="1" type="noConversion"/>
  </si>
  <si>
    <t>error/item</t>
    <phoneticPr fontId="1" type="noConversion"/>
  </si>
  <si>
    <t>verror</t>
    <phoneticPr fontId="1" type="noConversion"/>
  </si>
  <si>
    <t>serror</t>
    <phoneticPr fontId="1" type="noConversion"/>
  </si>
  <si>
    <t>vcorrect</t>
    <phoneticPr fontId="1" type="noConversion"/>
  </si>
  <si>
    <t>scorrect</t>
    <phoneticPr fontId="1" type="noConversion"/>
  </si>
  <si>
    <t>item</t>
  </si>
  <si>
    <t>all</t>
  </si>
  <si>
    <t>correct</t>
  </si>
  <si>
    <t>error(-)</t>
  </si>
  <si>
    <t>error(+)</t>
  </si>
  <si>
    <t>vr</t>
  </si>
  <si>
    <t>sr</t>
  </si>
  <si>
    <t>v</t>
  </si>
  <si>
    <t>s</t>
  </si>
  <si>
    <t xml:space="preserve"> </t>
  </si>
  <si>
    <t>correct/item</t>
  </si>
  <si>
    <t>error/item</t>
  </si>
  <si>
    <t>verror</t>
  </si>
  <si>
    <t>serror</t>
  </si>
  <si>
    <t>vcorrect</t>
  </si>
  <si>
    <t>scorrect</t>
  </si>
  <si>
    <t>L1</t>
    <phoneticPr fontId="1" type="noConversion"/>
  </si>
  <si>
    <t>L2</t>
    <phoneticPr fontId="1" type="noConversion"/>
  </si>
  <si>
    <t>2F1</t>
    <phoneticPr fontId="1" type="noConversion"/>
  </si>
  <si>
    <t>M1</t>
    <phoneticPr fontId="1" type="noConversion"/>
  </si>
  <si>
    <t>M2</t>
    <phoneticPr fontId="1" type="noConversion"/>
  </si>
  <si>
    <t>S1</t>
    <phoneticPr fontId="1" type="noConversion"/>
  </si>
  <si>
    <t>S2</t>
    <phoneticPr fontId="1" type="noConversion"/>
  </si>
  <si>
    <t>1F2</t>
    <phoneticPr fontId="1" type="noConversion"/>
  </si>
  <si>
    <t>2F2</t>
    <phoneticPr fontId="1" type="noConversion"/>
  </si>
  <si>
    <t>1F1</t>
    <phoneticPr fontId="1" type="noConversion"/>
  </si>
  <si>
    <t>L1(100)</t>
    <phoneticPr fontId="1" type="noConversion"/>
  </si>
  <si>
    <t>M1(18)</t>
    <phoneticPr fontId="1" type="noConversion"/>
  </si>
  <si>
    <t>M2(27)</t>
    <phoneticPr fontId="1" type="noConversion"/>
  </si>
  <si>
    <t>S1(11)</t>
    <phoneticPr fontId="1" type="noConversion"/>
  </si>
  <si>
    <t>S2(3)</t>
    <phoneticPr fontId="1" type="noConversion"/>
  </si>
  <si>
    <t>L2(59)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</si>
</sst>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305A-B62B-4B11-8A26-B16F76F84466}">
  <dimension ref="A1:Q9"/>
  <sheetViews>
    <sheetView workbookViewId="0">
      <selection activeCell="P9" sqref="P9:Q9"/>
    </sheetView>
  </sheetViews>
  <sheetFormatPr defaultRowHeight="15.75" x14ac:dyDescent="0.25"/>
  <cols>
    <col min="12" max="12" width="10.28515625" bestFit="1" customWidth="1"/>
    <col min="13" max="13" width="9.28515625" bestFit="1" customWidth="1"/>
    <col min="14" max="14" width="10.28515625" bestFit="1" customWidth="1"/>
    <col min="15" max="17" width="9.28515625" bestFit="1" customWidth="1"/>
  </cols>
  <sheetData>
    <row r="1" spans="1:17" x14ac:dyDescent="0.25">
      <c r="A1" t="s">
        <v>42</v>
      </c>
      <c r="B1" t="s">
        <v>5</v>
      </c>
      <c r="C1" t="s">
        <v>9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1</v>
      </c>
      <c r="J1" t="s">
        <v>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43</v>
      </c>
      <c r="B2">
        <v>132</v>
      </c>
      <c r="C2">
        <f t="shared" ref="C2:C7" si="0">B2-E2+F2</f>
        <v>137</v>
      </c>
      <c r="D2">
        <f t="shared" ref="D2:D7" si="1">B2-E2</f>
        <v>128</v>
      </c>
      <c r="E2">
        <v>4</v>
      </c>
      <c r="F2">
        <v>9</v>
      </c>
      <c r="G2" s="1">
        <v>280.53399999999999</v>
      </c>
      <c r="H2" s="1">
        <v>1938.2212</v>
      </c>
      <c r="I2" s="1">
        <v>294.76850000000002</v>
      </c>
      <c r="J2" s="1">
        <v>2015.4251999999999</v>
      </c>
      <c r="L2" s="1">
        <f t="shared" ref="L2:L7" si="2">D2/B2*100</f>
        <v>96.969696969696969</v>
      </c>
      <c r="M2" s="1">
        <f t="shared" ref="M2:M7" si="3">(E2+F2)/B2*100</f>
        <v>9.8484848484848477</v>
      </c>
      <c r="N2" s="1">
        <f>ABS(I2-G2)/G2*100</f>
        <v>5.0740730178873239</v>
      </c>
      <c r="O2" s="1">
        <f>ABS(J2-H2)/J2*100</f>
        <v>3.8306556849641433</v>
      </c>
      <c r="P2" s="1">
        <f>100-N2</f>
        <v>94.925926982112671</v>
      </c>
      <c r="Q2" s="1">
        <f>100-O2</f>
        <v>96.169344315035858</v>
      </c>
    </row>
    <row r="3" spans="1:17" x14ac:dyDescent="0.25">
      <c r="A3" t="s">
        <v>48</v>
      </c>
      <c r="B3">
        <v>132</v>
      </c>
      <c r="C3">
        <f t="shared" si="0"/>
        <v>131</v>
      </c>
      <c r="D3">
        <f t="shared" si="1"/>
        <v>130</v>
      </c>
      <c r="E3">
        <v>2</v>
      </c>
      <c r="F3">
        <v>1</v>
      </c>
      <c r="G3" s="1">
        <v>280.52390000000003</v>
      </c>
      <c r="H3" s="1">
        <v>1938.22</v>
      </c>
      <c r="I3" s="1">
        <v>293.65410000000003</v>
      </c>
      <c r="J3" s="1">
        <v>2033.6122</v>
      </c>
      <c r="L3" s="1">
        <f t="shared" si="2"/>
        <v>98.484848484848484</v>
      </c>
      <c r="M3" s="1">
        <f t="shared" si="3"/>
        <v>2.2727272727272729</v>
      </c>
      <c r="N3" s="1">
        <f t="shared" ref="N3:N7" si="4">ABS(I3-G3)/G3*100</f>
        <v>4.6805994070380459</v>
      </c>
      <c r="O3" s="1">
        <f t="shared" ref="O3:O7" si="5">ABS(J3-H3)/J3*100</f>
        <v>4.6907763436903069</v>
      </c>
      <c r="P3" s="1">
        <f t="shared" ref="P3:Q7" si="6">100-N3</f>
        <v>95.319400592961955</v>
      </c>
      <c r="Q3" s="1">
        <f t="shared" si="6"/>
        <v>95.309223656309698</v>
      </c>
    </row>
    <row r="4" spans="1:17" x14ac:dyDescent="0.25">
      <c r="A4" t="s">
        <v>44</v>
      </c>
      <c r="B4">
        <v>132</v>
      </c>
      <c r="C4">
        <f t="shared" si="0"/>
        <v>135</v>
      </c>
      <c r="D4">
        <f t="shared" si="1"/>
        <v>132</v>
      </c>
      <c r="E4">
        <v>0</v>
      </c>
      <c r="F4">
        <v>3</v>
      </c>
      <c r="G4" s="1">
        <v>280.54149999999998</v>
      </c>
      <c r="H4" s="1">
        <v>1938.1913</v>
      </c>
      <c r="I4" s="1">
        <v>279.38659999999999</v>
      </c>
      <c r="J4" s="1">
        <v>1938.5522000000001</v>
      </c>
      <c r="L4" s="1">
        <f t="shared" si="2"/>
        <v>100</v>
      </c>
      <c r="M4" s="1">
        <f t="shared" si="3"/>
        <v>2.2727272727272729</v>
      </c>
      <c r="N4" s="1">
        <f t="shared" si="4"/>
        <v>0.41166814891914311</v>
      </c>
      <c r="O4" s="1">
        <f t="shared" si="5"/>
        <v>1.8616986429363564E-2</v>
      </c>
      <c r="P4" s="1">
        <f t="shared" si="6"/>
        <v>99.588331851080852</v>
      </c>
      <c r="Q4" s="1">
        <f t="shared" si="6"/>
        <v>99.981383013570635</v>
      </c>
    </row>
    <row r="5" spans="1:17" x14ac:dyDescent="0.25">
      <c r="A5" t="s">
        <v>45</v>
      </c>
      <c r="B5">
        <v>132</v>
      </c>
      <c r="C5">
        <f t="shared" si="0"/>
        <v>135</v>
      </c>
      <c r="D5">
        <f t="shared" si="1"/>
        <v>130</v>
      </c>
      <c r="E5">
        <v>2</v>
      </c>
      <c r="F5">
        <v>5</v>
      </c>
      <c r="G5" s="1">
        <v>280.53399999999999</v>
      </c>
      <c r="H5" s="1">
        <v>1938.2212</v>
      </c>
      <c r="I5" s="1">
        <v>283.68950000000001</v>
      </c>
      <c r="J5" s="1">
        <v>1969.9004</v>
      </c>
      <c r="L5" s="1">
        <f t="shared" si="2"/>
        <v>98.484848484848484</v>
      </c>
      <c r="M5" s="1">
        <f t="shared" si="3"/>
        <v>5.3030303030303028</v>
      </c>
      <c r="N5" s="1">
        <f t="shared" si="4"/>
        <v>1.1248190950116628</v>
      </c>
      <c r="O5" s="1">
        <f t="shared" si="5"/>
        <v>1.6081625243591013</v>
      </c>
      <c r="P5" s="1">
        <f t="shared" si="6"/>
        <v>98.875180904988341</v>
      </c>
      <c r="Q5" s="1">
        <f t="shared" si="6"/>
        <v>98.391837475640898</v>
      </c>
    </row>
    <row r="6" spans="1:17" x14ac:dyDescent="0.25">
      <c r="A6" t="s">
        <v>46</v>
      </c>
      <c r="B6">
        <v>132</v>
      </c>
      <c r="C6">
        <f t="shared" si="0"/>
        <v>140</v>
      </c>
      <c r="D6">
        <f t="shared" si="1"/>
        <v>129</v>
      </c>
      <c r="E6">
        <v>3</v>
      </c>
      <c r="F6">
        <v>11</v>
      </c>
      <c r="G6" s="1">
        <v>280.54000000000002</v>
      </c>
      <c r="H6" s="1">
        <v>1938.19</v>
      </c>
      <c r="I6" s="1">
        <v>282.39999999999998</v>
      </c>
      <c r="J6" s="1">
        <v>2026.57</v>
      </c>
      <c r="L6" s="1">
        <f t="shared" si="2"/>
        <v>97.727272727272734</v>
      </c>
      <c r="M6" s="1">
        <f t="shared" si="3"/>
        <v>10.606060606060606</v>
      </c>
      <c r="N6" s="1">
        <f t="shared" si="4"/>
        <v>0.66300705781705171</v>
      </c>
      <c r="O6" s="1">
        <f t="shared" si="5"/>
        <v>4.3610632743995961</v>
      </c>
      <c r="P6" s="1">
        <f t="shared" si="6"/>
        <v>99.336992942182945</v>
      </c>
      <c r="Q6" s="1">
        <f t="shared" si="6"/>
        <v>95.638936725600402</v>
      </c>
    </row>
    <row r="7" spans="1:17" x14ac:dyDescent="0.25">
      <c r="A7" t="s">
        <v>47</v>
      </c>
      <c r="B7">
        <v>132</v>
      </c>
      <c r="C7">
        <f t="shared" si="0"/>
        <v>138</v>
      </c>
      <c r="D7">
        <f t="shared" si="1"/>
        <v>128</v>
      </c>
      <c r="E7">
        <v>4</v>
      </c>
      <c r="F7">
        <v>10</v>
      </c>
      <c r="G7" s="1">
        <v>280.54000000000002</v>
      </c>
      <c r="H7" s="1">
        <v>1938.19</v>
      </c>
      <c r="I7" s="1">
        <v>285.3</v>
      </c>
      <c r="J7" s="1">
        <v>2014.83</v>
      </c>
      <c r="L7" s="1">
        <f t="shared" si="2"/>
        <v>96.969696969696969</v>
      </c>
      <c r="M7" s="1">
        <f t="shared" si="3"/>
        <v>10.606060606060606</v>
      </c>
      <c r="N7" s="1">
        <f t="shared" si="4"/>
        <v>1.6967277393598028</v>
      </c>
      <c r="O7" s="1">
        <f t="shared" si="5"/>
        <v>3.8037948611049011</v>
      </c>
      <c r="P7" s="1">
        <f t="shared" si="6"/>
        <v>98.303272260640199</v>
      </c>
      <c r="Q7" s="1">
        <f t="shared" si="6"/>
        <v>96.196205138895095</v>
      </c>
    </row>
    <row r="9" spans="1:17" x14ac:dyDescent="0.25">
      <c r="E9" s="1">
        <f>AVERAGE(E2:E7)</f>
        <v>2.5</v>
      </c>
      <c r="F9" s="1">
        <f t="shared" ref="F9" si="7">AVERAGE(F2:F7)</f>
        <v>6.5</v>
      </c>
      <c r="L9" s="1">
        <f>AVERAGE(L2:L7)</f>
        <v>98.106060606060609</v>
      </c>
      <c r="M9" s="1">
        <f t="shared" ref="M9:Q9" si="8">AVERAGE(M2:M7)</f>
        <v>6.8181818181818175</v>
      </c>
      <c r="N9" s="1">
        <f t="shared" si="8"/>
        <v>2.2751490776721717</v>
      </c>
      <c r="O9" s="1">
        <f t="shared" si="8"/>
        <v>3.0521782791579022</v>
      </c>
      <c r="P9" s="1">
        <f t="shared" si="8"/>
        <v>97.724850922327803</v>
      </c>
      <c r="Q9" s="1">
        <f t="shared" si="8"/>
        <v>96.9478217208421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workbookViewId="0">
      <selection activeCell="Q10" sqref="A1:Q10"/>
    </sheetView>
  </sheetViews>
  <sheetFormatPr defaultRowHeight="15.75" x14ac:dyDescent="0.25"/>
  <cols>
    <col min="8" max="8" width="11.5703125" customWidth="1"/>
    <col min="9" max="9" width="11.140625" customWidth="1"/>
    <col min="12" max="12" width="13.5703125" customWidth="1"/>
    <col min="15" max="15" width="9.5703125" bestFit="1" customWidth="1"/>
  </cols>
  <sheetData>
    <row r="1" spans="1:17" x14ac:dyDescent="0.25">
      <c r="A1" t="s">
        <v>0</v>
      </c>
      <c r="B1" t="s">
        <v>5</v>
      </c>
      <c r="C1" t="s">
        <v>9</v>
      </c>
      <c r="D1" t="s">
        <v>6</v>
      </c>
      <c r="E1" t="s">
        <v>7</v>
      </c>
      <c r="F1" t="s">
        <v>8</v>
      </c>
      <c r="G1" t="s">
        <v>3</v>
      </c>
      <c r="H1" t="s">
        <v>4</v>
      </c>
      <c r="I1" t="s">
        <v>1</v>
      </c>
      <c r="J1" t="s">
        <v>2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0</v>
      </c>
      <c r="B2">
        <v>132</v>
      </c>
      <c r="C2">
        <f t="shared" ref="C2:C7" si="0">B2-E2+F2</f>
        <v>137</v>
      </c>
      <c r="D2">
        <f t="shared" ref="D2:D7" si="1">B2-E2</f>
        <v>128</v>
      </c>
      <c r="E2">
        <v>4</v>
      </c>
      <c r="F2">
        <v>9</v>
      </c>
      <c r="G2">
        <v>280.54169999999999</v>
      </c>
      <c r="H2">
        <v>1938.1913</v>
      </c>
      <c r="I2">
        <v>288.50810000000001</v>
      </c>
      <c r="J2">
        <v>2048.8305</v>
      </c>
      <c r="L2">
        <f t="shared" ref="L2:L7" si="2">D2/B2*100</f>
        <v>96.969696969696969</v>
      </c>
      <c r="M2">
        <f t="shared" ref="M2:M7" si="3">(E2+F2)/B2*100</f>
        <v>9.8484848484848477</v>
      </c>
      <c r="N2">
        <f t="shared" ref="N2:O7" si="4">ABS(I2-G2)/G2*100</f>
        <v>2.8396491501976433</v>
      </c>
      <c r="O2">
        <f t="shared" si="4"/>
        <v>5.7083735748891282</v>
      </c>
      <c r="P2">
        <f>100-N2</f>
        <v>97.160350849802356</v>
      </c>
      <c r="Q2">
        <f>100-O2</f>
        <v>94.291626425110877</v>
      </c>
    </row>
    <row r="3" spans="1:17" x14ac:dyDescent="0.25">
      <c r="A3">
        <v>17</v>
      </c>
      <c r="B3">
        <v>132</v>
      </c>
      <c r="C3">
        <f t="shared" si="0"/>
        <v>137</v>
      </c>
      <c r="D3">
        <f t="shared" si="1"/>
        <v>129</v>
      </c>
      <c r="E3">
        <v>3</v>
      </c>
      <c r="F3">
        <v>8</v>
      </c>
      <c r="G3">
        <v>280.53399999999999</v>
      </c>
      <c r="H3">
        <v>1938.2212</v>
      </c>
      <c r="I3">
        <v>283.49459999999999</v>
      </c>
      <c r="J3">
        <v>1998.7076</v>
      </c>
      <c r="L3">
        <f t="shared" si="2"/>
        <v>97.727272727272734</v>
      </c>
      <c r="M3">
        <f t="shared" si="3"/>
        <v>8.3333333333333321</v>
      </c>
      <c r="N3">
        <f t="shared" si="4"/>
        <v>1.0553444502270668</v>
      </c>
      <c r="O3">
        <f t="shared" si="4"/>
        <v>3.1207170781126532</v>
      </c>
      <c r="P3">
        <f t="shared" ref="P3:P7" si="5">100-N3</f>
        <v>98.944655549772932</v>
      </c>
      <c r="Q3">
        <f t="shared" ref="Q3:Q7" si="6">100-O3</f>
        <v>96.879282921887352</v>
      </c>
    </row>
    <row r="4" spans="1:17" x14ac:dyDescent="0.25">
      <c r="A4">
        <v>18</v>
      </c>
      <c r="B4">
        <v>132</v>
      </c>
      <c r="C4">
        <f t="shared" si="0"/>
        <v>135</v>
      </c>
      <c r="D4">
        <f t="shared" si="1"/>
        <v>132</v>
      </c>
      <c r="E4">
        <v>0</v>
      </c>
      <c r="F4">
        <v>3</v>
      </c>
      <c r="G4">
        <v>280.54149999999998</v>
      </c>
      <c r="H4">
        <v>1938.1913</v>
      </c>
      <c r="I4">
        <v>279.38659999999999</v>
      </c>
      <c r="J4">
        <v>1938.5522000000001</v>
      </c>
      <c r="L4">
        <f t="shared" si="2"/>
        <v>100</v>
      </c>
      <c r="M4">
        <f t="shared" si="3"/>
        <v>2.2727272727272729</v>
      </c>
      <c r="N4">
        <f t="shared" si="4"/>
        <v>0.41166814891914311</v>
      </c>
      <c r="O4">
        <f t="shared" si="4"/>
        <v>1.8620452996571019E-2</v>
      </c>
      <c r="P4">
        <f t="shared" si="5"/>
        <v>99.588331851080852</v>
      </c>
      <c r="Q4">
        <f t="shared" si="6"/>
        <v>99.981379547003428</v>
      </c>
    </row>
    <row r="5" spans="1:17" x14ac:dyDescent="0.25">
      <c r="A5">
        <v>27</v>
      </c>
      <c r="B5">
        <v>132</v>
      </c>
      <c r="C5">
        <f t="shared" si="0"/>
        <v>135</v>
      </c>
      <c r="D5">
        <f t="shared" si="1"/>
        <v>130</v>
      </c>
      <c r="E5">
        <v>2</v>
      </c>
      <c r="F5">
        <v>5</v>
      </c>
      <c r="G5">
        <v>280.53399999999999</v>
      </c>
      <c r="H5">
        <v>1938.2212</v>
      </c>
      <c r="I5">
        <v>283.68950000000001</v>
      </c>
      <c r="J5">
        <v>1969.9004</v>
      </c>
      <c r="L5">
        <f t="shared" si="2"/>
        <v>98.484848484848484</v>
      </c>
      <c r="M5">
        <f t="shared" si="3"/>
        <v>5.3030303030303028</v>
      </c>
      <c r="N5">
        <f t="shared" si="4"/>
        <v>1.1248190950116628</v>
      </c>
      <c r="O5">
        <f t="shared" si="4"/>
        <v>1.6344470899399943</v>
      </c>
      <c r="P5">
        <f t="shared" si="5"/>
        <v>98.875180904988341</v>
      </c>
      <c r="Q5">
        <f t="shared" si="6"/>
        <v>98.365552910060003</v>
      </c>
    </row>
    <row r="6" spans="1:17" x14ac:dyDescent="0.25">
      <c r="A6">
        <v>55</v>
      </c>
      <c r="B6">
        <v>132</v>
      </c>
      <c r="C6">
        <f t="shared" si="0"/>
        <v>136</v>
      </c>
      <c r="D6">
        <f t="shared" si="1"/>
        <v>130</v>
      </c>
      <c r="E6">
        <v>2</v>
      </c>
      <c r="F6">
        <v>6</v>
      </c>
      <c r="G6">
        <v>280.53149999999999</v>
      </c>
      <c r="H6">
        <v>1938.2089000000001</v>
      </c>
      <c r="I6">
        <v>292.22660000000002</v>
      </c>
      <c r="J6">
        <v>2074.2662</v>
      </c>
      <c r="L6">
        <f t="shared" si="2"/>
        <v>98.484848484848484</v>
      </c>
      <c r="M6">
        <f t="shared" si="3"/>
        <v>6.0606060606060606</v>
      </c>
      <c r="N6">
        <f t="shared" si="4"/>
        <v>4.1689079479488136</v>
      </c>
      <c r="O6">
        <f t="shared" si="4"/>
        <v>7.0197438470125659</v>
      </c>
      <c r="P6">
        <f t="shared" si="5"/>
        <v>95.83109205205119</v>
      </c>
      <c r="Q6">
        <f t="shared" si="6"/>
        <v>92.980256152987437</v>
      </c>
    </row>
    <row r="7" spans="1:17" x14ac:dyDescent="0.25">
      <c r="A7">
        <v>100</v>
      </c>
      <c r="B7">
        <v>132</v>
      </c>
      <c r="C7">
        <f t="shared" si="0"/>
        <v>133</v>
      </c>
      <c r="D7">
        <f t="shared" si="1"/>
        <v>132</v>
      </c>
      <c r="E7">
        <v>0</v>
      </c>
      <c r="F7">
        <v>1</v>
      </c>
      <c r="G7">
        <v>280.53399999999999</v>
      </c>
      <c r="H7">
        <v>1938.2212</v>
      </c>
      <c r="I7">
        <v>294.76850000000002</v>
      </c>
      <c r="J7">
        <v>2015.4251999999999</v>
      </c>
      <c r="L7">
        <f t="shared" si="2"/>
        <v>100</v>
      </c>
      <c r="M7">
        <f t="shared" si="3"/>
        <v>0.75757575757575757</v>
      </c>
      <c r="N7">
        <f t="shared" si="4"/>
        <v>5.0740730178873239</v>
      </c>
      <c r="O7">
        <f t="shared" si="4"/>
        <v>3.9832398902663919</v>
      </c>
      <c r="P7">
        <f t="shared" si="5"/>
        <v>94.925926982112671</v>
      </c>
      <c r="Q7">
        <f t="shared" si="6"/>
        <v>96.01676010973361</v>
      </c>
    </row>
    <row r="9" spans="1:17" x14ac:dyDescent="0.25">
      <c r="L9">
        <f>AVERAGE(L2:L7)</f>
        <v>98.611111111111128</v>
      </c>
      <c r="M9">
        <f t="shared" ref="M9:Q9" si="7">AVERAGE(M2:M7)</f>
        <v>5.4292929292929299</v>
      </c>
      <c r="N9">
        <f t="shared" si="7"/>
        <v>2.4457436350319424</v>
      </c>
      <c r="O9">
        <f t="shared" si="7"/>
        <v>3.5808569888695509</v>
      </c>
      <c r="P9">
        <f t="shared" si="7"/>
        <v>97.554256364968055</v>
      </c>
      <c r="Q9">
        <f t="shared" si="7"/>
        <v>96.419143011130458</v>
      </c>
    </row>
  </sheetData>
  <sortState xmlns:xlrd2="http://schemas.microsoft.com/office/spreadsheetml/2017/richdata2" ref="A2:O7">
    <sortCondition ref="A2:A7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2778-6CD9-455C-8B8B-112F0F2F2DAB}">
  <dimension ref="A1:Q9"/>
  <sheetViews>
    <sheetView workbookViewId="0">
      <selection activeCell="G22" sqref="G22"/>
    </sheetView>
  </sheetViews>
  <sheetFormatPr defaultRowHeight="15.75" x14ac:dyDescent="0.25"/>
  <sheetData>
    <row r="1" spans="1:17" x14ac:dyDescent="0.25">
      <c r="A1" t="s">
        <v>35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 x14ac:dyDescent="0.25">
      <c r="A2" t="s">
        <v>33</v>
      </c>
      <c r="B2">
        <v>264</v>
      </c>
      <c r="C2">
        <f t="shared" ref="C2:C7" si="0">B2-E2+F2</f>
        <v>259</v>
      </c>
      <c r="D2">
        <f t="shared" ref="D2:D7" si="1">B2-E2</f>
        <v>257</v>
      </c>
      <c r="E2">
        <v>7</v>
      </c>
      <c r="F2">
        <v>2</v>
      </c>
      <c r="G2">
        <v>561.08299999999997</v>
      </c>
      <c r="H2">
        <v>3876.3823000000002</v>
      </c>
      <c r="I2" s="1">
        <v>582.12869999999998</v>
      </c>
      <c r="J2" s="1">
        <v>4019.5454</v>
      </c>
      <c r="L2" s="1">
        <f>D2/B2*100</f>
        <v>97.348484848484844</v>
      </c>
      <c r="M2" s="1">
        <f>(E2+F2)/B2*100</f>
        <v>3.4090909090909087</v>
      </c>
      <c r="N2" s="1">
        <f>ABS(I2-G2)/G2*100</f>
        <v>3.7509067285945239</v>
      </c>
      <c r="O2" s="1">
        <f>ABS(J2-H2)/H2*100</f>
        <v>3.6932141600171828</v>
      </c>
      <c r="P2" s="1">
        <f>100-N2</f>
        <v>96.249093271405471</v>
      </c>
      <c r="Q2" s="1">
        <f>100-O2</f>
        <v>96.306785839982822</v>
      </c>
    </row>
    <row r="3" spans="1:17" x14ac:dyDescent="0.25">
      <c r="A3" t="s">
        <v>34</v>
      </c>
      <c r="B3">
        <v>264</v>
      </c>
      <c r="C3">
        <f t="shared" si="0"/>
        <v>259</v>
      </c>
      <c r="D3">
        <f t="shared" si="1"/>
        <v>257</v>
      </c>
      <c r="E3">
        <v>7</v>
      </c>
      <c r="F3">
        <v>2</v>
      </c>
      <c r="G3">
        <v>561.09</v>
      </c>
      <c r="H3">
        <v>3876.38</v>
      </c>
      <c r="I3" s="1">
        <v>575.33720000000005</v>
      </c>
      <c r="J3" s="1">
        <v>4035.94</v>
      </c>
      <c r="L3" s="1">
        <f t="shared" ref="L3:L7" si="2">D3/B3*100</f>
        <v>97.348484848484844</v>
      </c>
      <c r="M3" s="1">
        <f t="shared" ref="M3:M7" si="3">(E3+F3)/B3*100</f>
        <v>3.4090909090909087</v>
      </c>
      <c r="N3" s="1">
        <f t="shared" ref="N3:N7" si="4">ABS(I3-G3)/G3*100</f>
        <v>2.5392004847707179</v>
      </c>
      <c r="O3" s="1">
        <f t="shared" ref="O3:O7" si="5">ABS(J3-H3)/H3*100</f>
        <v>4.1162115169307425</v>
      </c>
      <c r="P3" s="1">
        <f t="shared" ref="P3:P7" si="6">100-N3</f>
        <v>97.460799515229283</v>
      </c>
      <c r="Q3" s="1">
        <f t="shared" ref="Q3:Q7" si="7">100-O3</f>
        <v>95.883788483069253</v>
      </c>
    </row>
    <row r="4" spans="1:17" x14ac:dyDescent="0.25">
      <c r="A4" t="s">
        <v>36</v>
      </c>
      <c r="B4">
        <v>264</v>
      </c>
      <c r="C4">
        <f t="shared" si="0"/>
        <v>260</v>
      </c>
      <c r="D4">
        <f t="shared" si="1"/>
        <v>256</v>
      </c>
      <c r="E4">
        <v>8</v>
      </c>
      <c r="F4">
        <v>4</v>
      </c>
      <c r="G4">
        <v>561.06780000000003</v>
      </c>
      <c r="H4">
        <v>3876.4004</v>
      </c>
      <c r="I4" s="1">
        <v>557.34310000000005</v>
      </c>
      <c r="J4" s="1">
        <v>3892.2258999999999</v>
      </c>
      <c r="L4" s="1">
        <f t="shared" si="2"/>
        <v>96.969696969696969</v>
      </c>
      <c r="M4" s="1">
        <f t="shared" si="3"/>
        <v>4.5454545454545459</v>
      </c>
      <c r="N4" s="1">
        <f t="shared" si="4"/>
        <v>0.66385916283201141</v>
      </c>
      <c r="O4" s="1">
        <f t="shared" si="5"/>
        <v>0.40825246019477041</v>
      </c>
      <c r="P4" s="1">
        <f t="shared" si="6"/>
        <v>99.336140837167989</v>
      </c>
      <c r="Q4" s="1">
        <f t="shared" si="7"/>
        <v>99.591747539805226</v>
      </c>
    </row>
    <row r="5" spans="1:17" x14ac:dyDescent="0.25">
      <c r="A5" t="s">
        <v>37</v>
      </c>
      <c r="B5">
        <v>264</v>
      </c>
      <c r="C5">
        <f t="shared" si="0"/>
        <v>261</v>
      </c>
      <c r="D5">
        <f t="shared" si="1"/>
        <v>256</v>
      </c>
      <c r="E5">
        <v>8</v>
      </c>
      <c r="F5">
        <v>5</v>
      </c>
      <c r="G5">
        <v>561.08000000000004</v>
      </c>
      <c r="H5">
        <v>3876.4</v>
      </c>
      <c r="I5" s="1">
        <v>577.91</v>
      </c>
      <c r="J5" s="1">
        <v>4008.7591000000002</v>
      </c>
      <c r="L5" s="1">
        <f t="shared" si="2"/>
        <v>96.969696969696969</v>
      </c>
      <c r="M5" s="1">
        <f t="shared" si="3"/>
        <v>4.9242424242424239</v>
      </c>
      <c r="N5" s="1">
        <f t="shared" si="4"/>
        <v>2.9995722535110727</v>
      </c>
      <c r="O5" s="1">
        <f t="shared" si="5"/>
        <v>3.4144850892580778</v>
      </c>
      <c r="P5" s="1">
        <f t="shared" si="6"/>
        <v>97.000427746488924</v>
      </c>
      <c r="Q5" s="1">
        <f t="shared" si="7"/>
        <v>96.585514910741921</v>
      </c>
    </row>
    <row r="6" spans="1:17" x14ac:dyDescent="0.25">
      <c r="A6" t="s">
        <v>38</v>
      </c>
      <c r="B6">
        <v>264</v>
      </c>
      <c r="C6">
        <f t="shared" si="0"/>
        <v>263</v>
      </c>
      <c r="D6">
        <f t="shared" si="1"/>
        <v>257</v>
      </c>
      <c r="E6">
        <v>7</v>
      </c>
      <c r="F6">
        <v>6</v>
      </c>
      <c r="G6">
        <v>561.07000000000005</v>
      </c>
      <c r="H6">
        <v>3876.4</v>
      </c>
      <c r="I6" s="1">
        <v>567.43759999999997</v>
      </c>
      <c r="J6" s="1">
        <v>3948.93</v>
      </c>
      <c r="L6" s="1">
        <f t="shared" si="2"/>
        <v>97.348484848484844</v>
      </c>
      <c r="M6" s="1">
        <f t="shared" si="3"/>
        <v>4.9242424242424239</v>
      </c>
      <c r="N6" s="1">
        <f t="shared" si="4"/>
        <v>1.1349029532856727</v>
      </c>
      <c r="O6" s="1">
        <f t="shared" si="5"/>
        <v>1.871065937467747</v>
      </c>
      <c r="P6" s="1">
        <f t="shared" si="6"/>
        <v>98.865097046714325</v>
      </c>
      <c r="Q6" s="1">
        <f t="shared" si="7"/>
        <v>98.128934062532252</v>
      </c>
    </row>
    <row r="7" spans="1:17" x14ac:dyDescent="0.25">
      <c r="A7" t="s">
        <v>39</v>
      </c>
      <c r="B7">
        <v>264</v>
      </c>
      <c r="C7">
        <f t="shared" si="0"/>
        <v>263</v>
      </c>
      <c r="D7">
        <f t="shared" si="1"/>
        <v>256</v>
      </c>
      <c r="E7">
        <v>8</v>
      </c>
      <c r="F7">
        <v>7</v>
      </c>
      <c r="G7">
        <v>561.07399999999996</v>
      </c>
      <c r="H7">
        <v>3876.4</v>
      </c>
      <c r="I7" s="1">
        <v>555.16999999999996</v>
      </c>
      <c r="J7" s="1">
        <v>3905</v>
      </c>
      <c r="L7" s="1">
        <f t="shared" si="2"/>
        <v>96.969696969696969</v>
      </c>
      <c r="M7" s="1">
        <f t="shared" si="3"/>
        <v>5.6818181818181817</v>
      </c>
      <c r="N7" s="1">
        <f t="shared" si="4"/>
        <v>1.0522676153234682</v>
      </c>
      <c r="O7" s="1">
        <f t="shared" si="5"/>
        <v>0.73779795686719396</v>
      </c>
      <c r="P7" s="1">
        <f t="shared" si="6"/>
        <v>98.947732384676527</v>
      </c>
      <c r="Q7" s="1">
        <f t="shared" si="7"/>
        <v>99.262202043132802</v>
      </c>
    </row>
    <row r="9" spans="1:17" x14ac:dyDescent="0.25">
      <c r="F9" s="1">
        <f t="shared" ref="F9" si="8">AVERAGE(F2:F7)</f>
        <v>4.333333333333333</v>
      </c>
      <c r="L9" s="1">
        <f>AVERAGE(L2:L7)</f>
        <v>97.159090909090921</v>
      </c>
      <c r="M9" s="1">
        <f t="shared" ref="M9:Q9" si="9">AVERAGE(M2:M7)</f>
        <v>4.4823232323232318</v>
      </c>
      <c r="N9" s="1">
        <f t="shared" si="9"/>
        <v>2.0234515330529113</v>
      </c>
      <c r="O9" s="1">
        <f t="shared" si="9"/>
        <v>2.3735045201226193</v>
      </c>
      <c r="P9" s="1">
        <f t="shared" si="9"/>
        <v>97.976548466947079</v>
      </c>
      <c r="Q9" s="1">
        <f t="shared" si="9"/>
        <v>97.626495479877391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B2E8-71FA-421C-BA89-1802C0FA942D}">
  <dimension ref="A1:Q9"/>
  <sheetViews>
    <sheetView workbookViewId="0">
      <selection activeCell="P9" sqref="P9:Q9"/>
    </sheetView>
  </sheetViews>
  <sheetFormatPr defaultRowHeight="15.75" x14ac:dyDescent="0.25"/>
  <sheetData>
    <row r="1" spans="1:17" x14ac:dyDescent="0.25">
      <c r="A1" t="s">
        <v>40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 x14ac:dyDescent="0.25">
      <c r="A2" t="s">
        <v>33</v>
      </c>
      <c r="B2">
        <v>248</v>
      </c>
      <c r="C2">
        <f t="shared" ref="C2:C7" si="0">B2-E2+F2</f>
        <v>249</v>
      </c>
      <c r="D2">
        <f t="shared" ref="D2:D7" si="1">B2-E2</f>
        <v>243</v>
      </c>
      <c r="E2">
        <v>5</v>
      </c>
      <c r="F2">
        <v>6</v>
      </c>
      <c r="G2" s="1">
        <v>499.61349999999999</v>
      </c>
      <c r="H2" s="1">
        <v>3490.8951000000002</v>
      </c>
      <c r="I2" s="1">
        <v>509.04199999999997</v>
      </c>
      <c r="J2" s="1">
        <v>3562.9281000000001</v>
      </c>
      <c r="L2" s="1">
        <f>D2/B2*100</f>
        <v>97.983870967741936</v>
      </c>
      <c r="M2" s="1">
        <f>(E2+F2)/B2*100</f>
        <v>4.435483870967742</v>
      </c>
      <c r="N2" s="1">
        <f>ABS(I2-G2)/G2*100</f>
        <v>1.8871587737320921</v>
      </c>
      <c r="O2" s="1">
        <f>ABS(J2-H2)/H2*100</f>
        <v>2.0634535824350579</v>
      </c>
      <c r="P2" s="1">
        <f>100-N2</f>
        <v>98.112841226267903</v>
      </c>
      <c r="Q2" s="1">
        <f>100-O2</f>
        <v>97.936546417564941</v>
      </c>
    </row>
    <row r="3" spans="1:17" x14ac:dyDescent="0.25">
      <c r="A3" t="s">
        <v>34</v>
      </c>
      <c r="B3">
        <v>248</v>
      </c>
      <c r="C3">
        <f t="shared" si="0"/>
        <v>246</v>
      </c>
      <c r="D3">
        <f t="shared" si="1"/>
        <v>242</v>
      </c>
      <c r="E3">
        <v>6</v>
      </c>
      <c r="F3">
        <v>4</v>
      </c>
      <c r="G3" s="1">
        <v>499.63</v>
      </c>
      <c r="H3" s="1">
        <v>3490.88</v>
      </c>
      <c r="I3" s="1">
        <v>517.75</v>
      </c>
      <c r="J3" s="1">
        <v>3600.4306999999999</v>
      </c>
      <c r="L3" s="1">
        <f t="shared" ref="L3:L7" si="2">D3/B3*100</f>
        <v>97.58064516129032</v>
      </c>
      <c r="M3" s="1">
        <f t="shared" ref="M3:M7" si="3">(E3+F3)/B3*100</f>
        <v>4.032258064516129</v>
      </c>
      <c r="N3" s="1">
        <f t="shared" ref="N3:O7" si="4">ABS(I3-G3)/G3*100</f>
        <v>3.62668374597202</v>
      </c>
      <c r="O3" s="1">
        <f t="shared" si="4"/>
        <v>3.1381972453937048</v>
      </c>
      <c r="P3" s="1">
        <f t="shared" ref="P3:Q7" si="5">100-N3</f>
        <v>96.373316254027984</v>
      </c>
      <c r="Q3" s="1">
        <f t="shared" si="5"/>
        <v>96.861802754606302</v>
      </c>
    </row>
    <row r="4" spans="1:17" x14ac:dyDescent="0.25">
      <c r="A4" t="s">
        <v>36</v>
      </c>
      <c r="B4">
        <v>248</v>
      </c>
      <c r="C4">
        <f t="shared" si="0"/>
        <v>245</v>
      </c>
      <c r="D4">
        <f t="shared" si="1"/>
        <v>242</v>
      </c>
      <c r="E4">
        <v>6</v>
      </c>
      <c r="F4">
        <v>3</v>
      </c>
      <c r="G4" s="1">
        <v>499.63</v>
      </c>
      <c r="H4" s="1">
        <v>3490.88</v>
      </c>
      <c r="I4" s="1">
        <v>519</v>
      </c>
      <c r="J4" s="1">
        <v>3572.9281000000001</v>
      </c>
      <c r="L4" s="1">
        <f t="shared" si="2"/>
        <v>97.58064516129032</v>
      </c>
      <c r="M4" s="1">
        <f t="shared" si="3"/>
        <v>3.6290322580645165</v>
      </c>
      <c r="N4" s="1">
        <f t="shared" si="4"/>
        <v>3.8768688829734015</v>
      </c>
      <c r="O4" s="1">
        <f t="shared" si="4"/>
        <v>2.3503557842148677</v>
      </c>
      <c r="P4" s="1">
        <f t="shared" si="5"/>
        <v>96.123131117026603</v>
      </c>
      <c r="Q4" s="1">
        <f t="shared" si="5"/>
        <v>97.649644215785131</v>
      </c>
    </row>
    <row r="5" spans="1:17" x14ac:dyDescent="0.25">
      <c r="A5" t="s">
        <v>37</v>
      </c>
      <c r="B5">
        <v>248</v>
      </c>
      <c r="C5">
        <f t="shared" si="0"/>
        <v>246</v>
      </c>
      <c r="D5">
        <f t="shared" si="1"/>
        <v>241</v>
      </c>
      <c r="E5">
        <v>7</v>
      </c>
      <c r="F5">
        <v>5</v>
      </c>
      <c r="G5" s="1">
        <v>499.63</v>
      </c>
      <c r="H5" s="1">
        <v>3490.87</v>
      </c>
      <c r="I5" s="1">
        <v>502</v>
      </c>
      <c r="J5" s="1">
        <v>3544.52</v>
      </c>
      <c r="L5" s="1">
        <f t="shared" si="2"/>
        <v>97.177419354838719</v>
      </c>
      <c r="M5" s="1">
        <f t="shared" si="3"/>
        <v>4.838709677419355</v>
      </c>
      <c r="N5" s="1">
        <f t="shared" si="4"/>
        <v>0.4743510197546193</v>
      </c>
      <c r="O5" s="1">
        <f t="shared" si="4"/>
        <v>1.5368661680326134</v>
      </c>
      <c r="P5" s="1">
        <f t="shared" si="5"/>
        <v>99.525648980245379</v>
      </c>
      <c r="Q5" s="1">
        <f t="shared" si="5"/>
        <v>98.463133831967383</v>
      </c>
    </row>
    <row r="6" spans="1:17" x14ac:dyDescent="0.25">
      <c r="A6" t="s">
        <v>38</v>
      </c>
      <c r="B6">
        <v>248</v>
      </c>
      <c r="C6">
        <f t="shared" si="0"/>
        <v>245</v>
      </c>
      <c r="D6">
        <f t="shared" si="1"/>
        <v>241</v>
      </c>
      <c r="E6">
        <v>7</v>
      </c>
      <c r="F6">
        <v>4</v>
      </c>
      <c r="G6" s="1">
        <v>499.63</v>
      </c>
      <c r="H6" s="1">
        <v>3490.85</v>
      </c>
      <c r="I6" s="1">
        <v>504.65600000000001</v>
      </c>
      <c r="J6" s="1">
        <v>3538.4214000000002</v>
      </c>
      <c r="L6" s="1">
        <f t="shared" si="2"/>
        <v>97.177419354838719</v>
      </c>
      <c r="M6" s="1">
        <f t="shared" si="3"/>
        <v>4.435483870967742</v>
      </c>
      <c r="N6" s="1">
        <f t="shared" si="4"/>
        <v>1.0059443988551549</v>
      </c>
      <c r="O6" s="1">
        <f t="shared" si="4"/>
        <v>1.3627454631393576</v>
      </c>
      <c r="P6" s="1">
        <f t="shared" si="5"/>
        <v>98.994055601144851</v>
      </c>
      <c r="Q6" s="1">
        <f t="shared" si="5"/>
        <v>98.637254536860638</v>
      </c>
    </row>
    <row r="7" spans="1:17" x14ac:dyDescent="0.25">
      <c r="A7" t="s">
        <v>39</v>
      </c>
      <c r="B7">
        <v>248</v>
      </c>
      <c r="C7">
        <f t="shared" si="0"/>
        <v>248</v>
      </c>
      <c r="D7">
        <f t="shared" si="1"/>
        <v>242</v>
      </c>
      <c r="E7">
        <v>6</v>
      </c>
      <c r="F7">
        <v>6</v>
      </c>
      <c r="G7" s="1">
        <v>499.62</v>
      </c>
      <c r="H7" s="1">
        <v>3490.87</v>
      </c>
      <c r="I7" s="1">
        <v>505.01</v>
      </c>
      <c r="J7" s="1">
        <v>3562.74</v>
      </c>
      <c r="L7" s="1">
        <f t="shared" si="2"/>
        <v>97.58064516129032</v>
      </c>
      <c r="M7" s="1">
        <f t="shared" si="3"/>
        <v>4.838709677419355</v>
      </c>
      <c r="N7" s="1">
        <f t="shared" si="4"/>
        <v>1.0788199031263732</v>
      </c>
      <c r="O7" s="1">
        <f t="shared" si="4"/>
        <v>2.0587990959273732</v>
      </c>
      <c r="P7" s="1">
        <f t="shared" si="5"/>
        <v>98.921180096873627</v>
      </c>
      <c r="Q7" s="1">
        <f t="shared" si="5"/>
        <v>97.94120090407263</v>
      </c>
    </row>
    <row r="9" spans="1:17" x14ac:dyDescent="0.25">
      <c r="E9" s="1">
        <f>AVERAGE(E2:E7)</f>
        <v>6.166666666666667</v>
      </c>
      <c r="F9" s="1">
        <f t="shared" ref="F9" si="6">AVERAGE(F2:F7)</f>
        <v>4.666666666666667</v>
      </c>
      <c r="L9" s="1">
        <f>AVERAGE(L2:L7)</f>
        <v>97.513440860215056</v>
      </c>
      <c r="M9" s="1">
        <f t="shared" ref="M9:Q9" si="7">AVERAGE(M2:M7)</f>
        <v>4.3682795698924739</v>
      </c>
      <c r="N9" s="1">
        <f t="shared" si="7"/>
        <v>1.9916377874022768</v>
      </c>
      <c r="O9" s="1">
        <f t="shared" si="7"/>
        <v>2.0850695565238291</v>
      </c>
      <c r="P9" s="1">
        <f t="shared" si="7"/>
        <v>98.008362212597717</v>
      </c>
      <c r="Q9" s="1">
        <f t="shared" si="7"/>
        <v>97.914930443476166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5F1B-BB74-47A8-963D-3352E1DD0420}">
  <dimension ref="A1:Q9"/>
  <sheetViews>
    <sheetView tabSelected="1" workbookViewId="0">
      <selection activeCell="P9" sqref="P9:Q9"/>
    </sheetView>
  </sheetViews>
  <sheetFormatPr defaultRowHeight="15.75" x14ac:dyDescent="0.25"/>
  <cols>
    <col min="7" max="7" width="11.42578125" bestFit="1" customWidth="1"/>
    <col min="8" max="10" width="12.5703125" bestFit="1" customWidth="1"/>
    <col min="12" max="12" width="10.28515625" bestFit="1" customWidth="1"/>
    <col min="13" max="15" width="9.28515625" bestFit="1" customWidth="1"/>
    <col min="16" max="17" width="10.28515625" bestFit="1" customWidth="1"/>
  </cols>
  <sheetData>
    <row r="1" spans="1:17" x14ac:dyDescent="0.25">
      <c r="A1" t="s">
        <v>41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 spans="1:17" x14ac:dyDescent="0.25">
      <c r="A2" t="s">
        <v>33</v>
      </c>
      <c r="B2">
        <v>496</v>
      </c>
      <c r="C2">
        <f t="shared" ref="C2:C7" si="0">B2-E2+F2</f>
        <v>495</v>
      </c>
      <c r="D2">
        <f t="shared" ref="D2:D7" si="1">B2-E2</f>
        <v>485</v>
      </c>
      <c r="E2">
        <v>11</v>
      </c>
      <c r="F2">
        <v>10</v>
      </c>
      <c r="G2" s="1">
        <v>999.24440000000004</v>
      </c>
      <c r="H2" s="1">
        <v>6981.7891</v>
      </c>
      <c r="I2" s="1">
        <v>1011.96</v>
      </c>
      <c r="J2" s="1">
        <v>7168.4699000000001</v>
      </c>
      <c r="K2" s="1"/>
      <c r="L2" s="1">
        <f>D2/B2*100</f>
        <v>97.782258064516128</v>
      </c>
      <c r="M2" s="1">
        <f>(E2+F2)/B2*100</f>
        <v>4.2338709677419351</v>
      </c>
      <c r="N2" s="1">
        <f>ABS(I2-G2)/G2*100</f>
        <v>1.2725215172584399</v>
      </c>
      <c r="O2" s="1">
        <f>ABS(J2-H2)/H2*100</f>
        <v>2.6738246791212883</v>
      </c>
      <c r="P2" s="1">
        <f>100-N2</f>
        <v>98.72747848274156</v>
      </c>
      <c r="Q2" s="1">
        <f>100-O2</f>
        <v>97.326175320878718</v>
      </c>
    </row>
    <row r="3" spans="1:17" x14ac:dyDescent="0.25">
      <c r="A3" t="s">
        <v>34</v>
      </c>
      <c r="B3">
        <v>496</v>
      </c>
      <c r="C3">
        <f t="shared" si="0"/>
        <v>497</v>
      </c>
      <c r="D3">
        <f t="shared" si="1"/>
        <v>486</v>
      </c>
      <c r="E3">
        <v>10</v>
      </c>
      <c r="F3">
        <v>11</v>
      </c>
      <c r="G3">
        <v>999.25</v>
      </c>
      <c r="H3">
        <v>6981.9</v>
      </c>
      <c r="I3" s="1">
        <v>1020.8326</v>
      </c>
      <c r="J3" s="1">
        <v>7141.9823999999999</v>
      </c>
      <c r="L3" s="1">
        <f t="shared" ref="L3:L7" si="2">D3/B3*100</f>
        <v>97.983870967741936</v>
      </c>
      <c r="M3" s="1">
        <f t="shared" ref="M3:M7" si="3">(E3+F3)/B3*100</f>
        <v>4.2338709677419351</v>
      </c>
      <c r="N3" s="1">
        <f t="shared" ref="N3:N7" si="4">ABS(I3-G3)/G3*100</f>
        <v>2.1598799099324451</v>
      </c>
      <c r="O3" s="1">
        <f t="shared" ref="O3:O7" si="5">ABS(J3-H3)/H3*100</f>
        <v>2.2928200060155581</v>
      </c>
      <c r="P3" s="1">
        <f t="shared" ref="P3:P7" si="6">100-N3</f>
        <v>97.840120090067558</v>
      </c>
      <c r="Q3" s="1">
        <f t="shared" ref="Q3:Q7" si="7">100-O3</f>
        <v>97.70717999398444</v>
      </c>
    </row>
    <row r="4" spans="1:17" x14ac:dyDescent="0.25">
      <c r="A4" t="s">
        <v>36</v>
      </c>
      <c r="B4">
        <v>496</v>
      </c>
      <c r="C4">
        <f t="shared" si="0"/>
        <v>494</v>
      </c>
      <c r="D4">
        <f t="shared" si="1"/>
        <v>484</v>
      </c>
      <c r="E4">
        <v>12</v>
      </c>
      <c r="F4">
        <v>10</v>
      </c>
      <c r="G4">
        <v>999.25</v>
      </c>
      <c r="H4">
        <v>6981.75</v>
      </c>
      <c r="I4">
        <v>1011.92</v>
      </c>
      <c r="J4">
        <v>7201.8</v>
      </c>
      <c r="L4" s="1">
        <f t="shared" si="2"/>
        <v>97.58064516129032</v>
      </c>
      <c r="M4" s="1">
        <f t="shared" si="3"/>
        <v>4.435483870967742</v>
      </c>
      <c r="N4" s="1">
        <f t="shared" si="4"/>
        <v>1.2679509632224129</v>
      </c>
      <c r="O4" s="1">
        <f t="shared" si="5"/>
        <v>3.1517885916854684</v>
      </c>
      <c r="P4" s="1">
        <f t="shared" si="6"/>
        <v>98.732049036777582</v>
      </c>
      <c r="Q4" s="1">
        <f t="shared" si="7"/>
        <v>96.848211408314526</v>
      </c>
    </row>
    <row r="5" spans="1:17" x14ac:dyDescent="0.25">
      <c r="A5" t="s">
        <v>37</v>
      </c>
      <c r="B5">
        <v>496</v>
      </c>
      <c r="C5">
        <f t="shared" si="0"/>
        <v>497</v>
      </c>
      <c r="D5">
        <f t="shared" si="1"/>
        <v>486</v>
      </c>
      <c r="E5">
        <v>10</v>
      </c>
      <c r="F5">
        <v>11</v>
      </c>
      <c r="G5">
        <v>999.25</v>
      </c>
      <c r="H5">
        <v>6981.79</v>
      </c>
      <c r="I5">
        <v>1019.21</v>
      </c>
      <c r="J5">
        <v>7330.57</v>
      </c>
      <c r="L5" s="1">
        <f t="shared" si="2"/>
        <v>97.983870967741936</v>
      </c>
      <c r="M5" s="1">
        <f t="shared" si="3"/>
        <v>4.2338709677419351</v>
      </c>
      <c r="N5" s="1">
        <f t="shared" si="4"/>
        <v>1.9974981235926983</v>
      </c>
      <c r="O5" s="1">
        <f t="shared" si="5"/>
        <v>4.9955670393982023</v>
      </c>
      <c r="P5" s="1">
        <f t="shared" si="6"/>
        <v>98.002501876407308</v>
      </c>
      <c r="Q5" s="1">
        <f t="shared" si="7"/>
        <v>95.004432960601804</v>
      </c>
    </row>
    <row r="6" spans="1:17" x14ac:dyDescent="0.25">
      <c r="A6" t="s">
        <v>38</v>
      </c>
      <c r="B6">
        <v>496</v>
      </c>
      <c r="C6">
        <f t="shared" si="0"/>
        <v>499</v>
      </c>
      <c r="D6">
        <f t="shared" si="1"/>
        <v>486</v>
      </c>
      <c r="E6">
        <v>10</v>
      </c>
      <c r="F6">
        <v>13</v>
      </c>
      <c r="G6">
        <v>999.25</v>
      </c>
      <c r="H6">
        <v>6981.74</v>
      </c>
      <c r="I6">
        <v>993.35</v>
      </c>
      <c r="J6">
        <v>7219.75</v>
      </c>
      <c r="L6" s="1">
        <f t="shared" si="2"/>
        <v>97.983870967741936</v>
      </c>
      <c r="M6" s="1">
        <f t="shared" si="3"/>
        <v>4.637096774193548</v>
      </c>
      <c r="N6" s="1">
        <f t="shared" si="4"/>
        <v>0.59044283212409077</v>
      </c>
      <c r="O6" s="1">
        <f t="shared" si="5"/>
        <v>3.4090355699295625</v>
      </c>
      <c r="P6" s="1">
        <f t="shared" si="6"/>
        <v>99.409557167875903</v>
      </c>
      <c r="Q6" s="1">
        <f t="shared" si="7"/>
        <v>96.590964430070443</v>
      </c>
    </row>
    <row r="7" spans="1:17" x14ac:dyDescent="0.25">
      <c r="A7" t="s">
        <v>39</v>
      </c>
      <c r="B7">
        <v>496</v>
      </c>
      <c r="C7">
        <f t="shared" si="0"/>
        <v>495</v>
      </c>
      <c r="D7">
        <f t="shared" si="1"/>
        <v>485</v>
      </c>
      <c r="E7">
        <v>11</v>
      </c>
      <c r="F7">
        <v>10</v>
      </c>
      <c r="G7">
        <v>999.26</v>
      </c>
      <c r="H7">
        <v>6981.72</v>
      </c>
      <c r="I7">
        <v>999.74</v>
      </c>
      <c r="J7">
        <v>7149.71</v>
      </c>
      <c r="L7" s="1">
        <f t="shared" si="2"/>
        <v>97.782258064516128</v>
      </c>
      <c r="M7" s="1">
        <f t="shared" si="3"/>
        <v>4.2338709677419351</v>
      </c>
      <c r="N7" s="1">
        <f t="shared" si="4"/>
        <v>4.8035546304266978E-2</v>
      </c>
      <c r="O7" s="1">
        <f t="shared" si="5"/>
        <v>2.4061406071856188</v>
      </c>
      <c r="P7" s="1">
        <f t="shared" si="6"/>
        <v>99.951964453695737</v>
      </c>
      <c r="Q7" s="1">
        <f t="shared" si="7"/>
        <v>97.59385939281438</v>
      </c>
    </row>
    <row r="9" spans="1:17" x14ac:dyDescent="0.25">
      <c r="E9" s="1">
        <f>AVERAGE(E2:E7)</f>
        <v>10.666666666666666</v>
      </c>
      <c r="F9" s="1">
        <f>AVERAGE(F2:F7)</f>
        <v>10.833333333333334</v>
      </c>
      <c r="L9" s="1">
        <f>AVERAGE(L2:L7)</f>
        <v>97.849462365591407</v>
      </c>
      <c r="M9" s="1">
        <f t="shared" ref="M9:Q9" si="8">AVERAGE(M2:M7)</f>
        <v>4.334677419354839</v>
      </c>
      <c r="N9" s="1">
        <f t="shared" si="8"/>
        <v>1.2227214820723924</v>
      </c>
      <c r="O9" s="1">
        <f t="shared" si="8"/>
        <v>3.154862748889284</v>
      </c>
      <c r="P9" s="1">
        <f t="shared" si="8"/>
        <v>98.777278517927627</v>
      </c>
      <c r="Q9" s="1">
        <f t="shared" si="8"/>
        <v>96.845137251110714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1F1</vt:lpstr>
      <vt:lpstr>工作表1</vt:lpstr>
      <vt:lpstr>2F1</vt:lpstr>
      <vt:lpstr>1F2</vt:lpstr>
      <vt:lpstr>2F2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吳威霖</dc:creator>
  <cp:lastModifiedBy>吳威霖</cp:lastModifiedBy>
  <dcterms:created xsi:type="dcterms:W3CDTF">2015-06-05T18:19:34Z</dcterms:created>
  <dcterms:modified xsi:type="dcterms:W3CDTF">2022-06-02T07:27:43Z</dcterms:modified>
</cp:coreProperties>
</file>